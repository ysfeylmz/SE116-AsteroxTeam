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List" sheetId="1" r:id="rId5"/>
    <sheet state="visible" name="Developer List" sheetId="2" r:id="rId6"/>
  </sheets>
  <definedNames/>
  <calcPr/>
</workbook>
</file>

<file path=xl/sharedStrings.xml><?xml version="1.0" encoding="utf-8"?>
<sst xmlns="http://schemas.openxmlformats.org/spreadsheetml/2006/main" count="191" uniqueCount="110">
  <si>
    <t>Task ID</t>
  </si>
  <si>
    <t>Owner</t>
  </si>
  <si>
    <t>Milestone</t>
  </si>
  <si>
    <t>Title</t>
  </si>
  <si>
    <t>Weight (0-100]</t>
  </si>
  <si>
    <t>Start Date and Time</t>
  </si>
  <si>
    <t>Completed Date and Time</t>
  </si>
  <si>
    <t>URL</t>
  </si>
  <si>
    <t>Details</t>
  </si>
  <si>
    <t>Yusuf Emir Yılmaz</t>
  </si>
  <si>
    <t>Milestone 1 (Design)</t>
  </si>
  <si>
    <t xml:space="preserve">Define core classes, types, and method stubs
</t>
  </si>
  <si>
    <t>https://github.com/ysfeylmz/SE116-AsteroxTeam/commit/ae2b1bda32064997db8db8e2810bc0f0f96aa272</t>
  </si>
  <si>
    <t>Define core classes, types, and method stubs</t>
  </si>
  <si>
    <t>Creating classes in packages</t>
  </si>
  <si>
    <t>https://github.com/ysfeylmz/SE116-AsteroxTeam/commit/e5da17a16e8ec45a4935565001ac33c1422aa4ca</t>
  </si>
  <si>
    <t>Created and organized classes across project packages.</t>
  </si>
  <si>
    <t>Create UtilityProvider.java</t>
  </si>
  <si>
    <t>https://github.com/ysfeylmz/SE116-AsteroxTeam/commit/71f1734153bdd898c139b9c3849fbd8e612bb4d8</t>
  </si>
  <si>
    <t>Mustafa Şen</t>
  </si>
  <si>
    <t>Creating classes, types, and methods.</t>
  </si>
  <si>
    <t>https://github.com/ysfeylmz/SE116-AsteroxTeam/commit/c3925510fe9be09903d5d3419bfa8e22bb223b6c</t>
  </si>
  <si>
    <t xml:space="preserve">Creating classes, types, and methods, and marking methods with "TODO" to be filled in later."
</t>
  </si>
  <si>
    <t>Creating utilityProvider class.</t>
  </si>
  <si>
    <t>https://github.com/ysfeylmz/SE116-AsteroxTeam/commit/40d961fa45a9bfae4fe20842f543acb4e5d607e7</t>
  </si>
  <si>
    <t>Creating utilityProvider class, types, and methods, and marking methods with "TODO" to be filled in later."</t>
  </si>
  <si>
    <t>Mehmet Kerem Saman</t>
  </si>
  <si>
    <t xml:space="preserve">Created classes and interfaces </t>
  </si>
  <si>
    <t xml:space="preserve">       16.05.2026 15.30</t>
  </si>
  <si>
    <t xml:space="preserve">                  16.05.2026 22:27.</t>
  </si>
  <si>
    <t>https://github.com/ysfeylmz/SE116-AsteroxTeam/commit/a1d9bf7e1590275f4331131abd7d27bcb860e37a</t>
  </si>
  <si>
    <t>implementing simulator classes and methods wihout body</t>
  </si>
  <si>
    <t>https://github.com/ysfeylmz/SE116-AsteroxTeam/commit/442eff112d7e8ea97d65d74d666f88077069b7cc#diff-658d701872636e79d23434332b02f389b3b0ace82d36fef03d16fa43ef7d1165</t>
  </si>
  <si>
    <t>Created simulator classes and introduced placeholder method implementations.</t>
  </si>
  <si>
    <t>Integrate ResourceType into resource producers/consumers and add ResourcePool</t>
  </si>
  <si>
    <t>https://github.com/ysfeylmz/SE116-AsteroxTeam/commit/a60fa53c92a948fad583fc8cd8221d1a0803f85e</t>
  </si>
  <si>
    <t>Integrated ResourceType into resource producers and consumers, and added ResourcePool for centralized resource management.</t>
  </si>
  <si>
    <t>I added enum.</t>
  </si>
  <si>
    <t>https://github.com/ysfeylmz/SE116-AsteroxTeam/commit/327bd1d351987ff83df75418615c0ef63396e210</t>
  </si>
  <si>
    <t>I added enum</t>
  </si>
  <si>
    <t xml:space="preserve"> Added ServiceType enum</t>
  </si>
  <si>
    <t>16.05.2026 15.30</t>
  </si>
  <si>
    <t>https://github.com/ysfeylmz/SE116-AsteroxTeam/commit/9b5230c010a5f1eaf6716d1647b0f3ce17de9af7</t>
  </si>
  <si>
    <t>Mehmet Inci</t>
  </si>
  <si>
    <t>added the classes defined methods and marked the methods which implement…</t>
  </si>
  <si>
    <t xml:space="preserve">                  17.05.2026 19.23</t>
  </si>
  <si>
    <t>https://github.com/ysfeylmz/SE116-AsteroxTeam/commit/1a7f4471d189cd428d8068a7701ae23c94c2f05e</t>
  </si>
  <si>
    <t>Umut Berk Şanlı</t>
  </si>
  <si>
    <t>creating Hospital class and marking methods with TODO to be filled in later</t>
  </si>
  <si>
    <t>https://github.com/ysfeylmz/SE116-AsteroxTeam/commit/e3d175c116e70d40bf6c58b7ed59bce2045861cb</t>
  </si>
  <si>
    <t>creating classes and marking methods with TODO to be filled in later</t>
  </si>
  <si>
    <t>https://github.com/ysfeylmz/SE116-AsteroxTeam/commit/2ce9db5ae7e25d45b4aab909605b03b65488f26c</t>
  </si>
  <si>
    <t>Milestone 2 (Final)</t>
  </si>
  <si>
    <t>Implement basic structure and level progression in Commercial class</t>
  </si>
  <si>
    <t>https://github.com/ysfeylmz/SE116-AsteroxTeam/commit/d62c447787e778d79c3469e947ae4bc6c08127ab</t>
  </si>
  <si>
    <t>Implement produce method for Commercial class</t>
  </si>
  <si>
    <t>https://github.com/ysfeylmz/SE116-AsteroxTeam/commit/567dbe12688aef1f14b48cd1afad7942d027b879</t>
  </si>
  <si>
    <t>Implement utility and resource demand logic for Commercial class</t>
  </si>
  <si>
    <t>https://github.com/ysfeylmz/SE116-AsteroxTeam/commit/db71cc24ef3d919e581357782f2d1a13adf612b0</t>
  </si>
  <si>
    <t>Update Zone Class</t>
  </si>
  <si>
    <t>23.05.2026 15.00</t>
  </si>
  <si>
    <t>23.05.2026  19.49</t>
  </si>
  <si>
    <t>https://github.com/ysfeylmz/SE116-AsteroxTeam/commit/fa5fc1fe283f4117e14611cf977c405c661ef5d4</t>
  </si>
  <si>
    <t>Implemented recomputeLevel and produce methods in Housing</t>
  </si>
  <si>
    <t>23.05.2026 14.00</t>
  </si>
  <si>
    <t>23.05.2026 20.08</t>
  </si>
  <si>
    <t>https://github.com/ysfeylmz/SE116-AsteroxTeam/commit/491c9562cae7f317261cc673f9b9be2311033e4b</t>
  </si>
  <si>
    <t>Implemented Commercial zone core logic and resource requirements</t>
  </si>
  <si>
    <t>https://github.com/ysfeylmz/SE116-AsteroxTeam/commit/df9c370feec7883a8d2948d3f6f0346e841fa8ae</t>
  </si>
  <si>
    <t>Implemented the core logic of the Commercial zone, including resource requirement handling and related functionality.</t>
  </si>
  <si>
    <t>Implemented Industrial logic and corrected constructor inheritance</t>
  </si>
  <si>
    <t>23.05.2026  14.00</t>
  </si>
  <si>
    <t>23.5.2026 20.08</t>
  </si>
  <si>
    <t>https://github.com/ysfeylmz/SE116-AsteroxTeam/commit/5476621fe4beb2fe13ede1a7b3f23e1ce1345808</t>
  </si>
  <si>
    <t>fix Commercial.java resource demand and level rules</t>
  </si>
  <si>
    <t>https://github.com/ysfeylmz/SE116-AsteroxTeam/commit/85dc9ea510ccc9e63a706833425323a4928f3958</t>
  </si>
  <si>
    <t>Implemented Cell base class and Position class</t>
  </si>
  <si>
    <t>https://github.com/ysfeylmz/SE116-AsteroxTeam/commit/7cc2def2cd1e06258611642e3850ab2f73fc16b7</t>
  </si>
  <si>
    <t>Implements the core city model and IO output layer for ObjectVille II, and fixes the broken Cell.setPosition() stub to a proper void setter.</t>
  </si>
  <si>
    <t>https://github.com/ysfeylmz/SE116-AsteroxTeam/commit/87884df4d6eaea5a28c3971156f28be438032e9c</t>
  </si>
  <si>
    <t>Implemented the core city model and IO output layer for ObjectVille II while fixing the Cell.setPosition() setter implementation.</t>
  </si>
  <si>
    <t>implement core logic for position and city grids with distance formulas</t>
  </si>
  <si>
    <t>https://github.com/ysfeylmz/SE116-AsteroxTeam/commit/fbd5b0591262ed9b69f6957b0636a48d2475b6b1</t>
  </si>
  <si>
    <t>i implemented maploader and file parser logic</t>
  </si>
  <si>
    <t>https://github.com/ysfeylmz/SE116-AsteroxTeam/commit/98d85a061a35b6ddd3d5fcb6949ff13107cec7a7</t>
  </si>
  <si>
    <t>I implement utility distribution using BFS routing</t>
  </si>
  <si>
    <t>https://github.com/ysfeylmz/SE116-AsteroxTeam/commit/b4d354fd38540bac362fdd1a6f41325493c0b783</t>
  </si>
  <si>
    <t>I filled the Simulator class .</t>
  </si>
  <si>
    <t>https://github.com/ysfeylmz/SE116-AsteroxTeam/commit/7b8cd56d4d7e9b270bfc91a562f0d8c00e1d172d</t>
  </si>
  <si>
    <t>I filled the Simulator class this class has many</t>
  </si>
  <si>
    <t xml:space="preserve">I created Main class and filled it. </t>
  </si>
  <si>
    <t>https://github.com/ysfeylmz/SE116-AsteroxTeam/commit/fcce5a14f8dd0f90fe108f1f4add586d359e3367</t>
  </si>
  <si>
    <t>I created Main class and filled it.</t>
  </si>
  <si>
    <t>I fixed Zone , Housing and Industrial Classes</t>
  </si>
  <si>
    <t>04.06.2026 18.30</t>
  </si>
  <si>
    <t>https://github.com/ysfeylmz/SE116-AsteroxTeam/commit/b9a5d4233528fdd977e641b926f97d8a0d1a42eb</t>
  </si>
  <si>
    <t>Fix MapLoader to handle maps without a dimension header Fix utility distribution and service logging in Simulator Fix Commercial zone level-up logic</t>
  </si>
  <si>
    <t>https://github.com/ysfeylmz/SE116-AsteroxTeam/commit/2c5cc23b5eb69fc094cdb1caeff6a3ce6fb75ef4</t>
  </si>
  <si>
    <t>Resolved issues in MapLoader, utility distribution, service logging, and Commercial zone level-up behavior.</t>
  </si>
  <si>
    <t>Rewrite utility distribution as layered BFS with column-major ordering and replace loops with lambdas</t>
  </si>
  <si>
    <t>https://github.com/ysfeylmz/SE116-AsteroxTeam/commit/2840baa9fb4e6fab9eb30bb0f4cfa5022754db33</t>
  </si>
  <si>
    <t>Refactored the utility distribution system by implementing a layered BFS traversal strategy and adopting column-major ordering. Replaced traditional loops with lambda-based iterations to improve readability, maintainability, and code consistency while preserving the original distribution behavior.</t>
  </si>
  <si>
    <t>Fix Industrial and Commercial level requirements</t>
  </si>
  <si>
    <t>https://github.com/ysfeylmz/SE116-AsteroxTeam/commit/ef5c21d4c96f2a11a00d24759753506f571b3fd1</t>
  </si>
  <si>
    <t>Developer</t>
  </si>
  <si>
    <t>Number of Tasks</t>
  </si>
  <si>
    <t>Total Weight</t>
  </si>
  <si>
    <t>Score</t>
  </si>
  <si>
    <t>Team Average</t>
  </si>
  <si>
    <t>Mehmet İnci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</si>
</sst>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 hh:mm"/>
    <numFmt numFmtId="165" formatCode="dd.mm.yyyy hh:mm:ss"/>
  </numFmts>
  <fonts count="10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  <name val="Arial"/>
    </font>
    <font>
      <sz val="11.0"/>
      <color rgb="FF000000"/>
      <name val="Arial"/>
      <scheme val="minor"/>
    </font>
    <font>
      <color theme="1"/>
      <name val="Arial"/>
      <scheme val="minor"/>
    </font>
    <font>
      <sz val="8.0"/>
      <color rgb="FF000000"/>
      <name val="Arial"/>
      <scheme val="minor"/>
    </font>
    <font>
      <sz val="8.0"/>
      <color theme="1"/>
      <name val="Arial"/>
      <scheme val="minor"/>
    </font>
    <font>
      <u/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0" fontId="2" numFmtId="164" xfId="0" applyAlignment="1" applyFont="1" applyNumberForma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0"/>
    </xf>
    <xf borderId="0" fillId="0" fontId="2" numFmtId="165" xfId="0" applyAlignment="1" applyFont="1" applyNumberFormat="1">
      <alignment readingOrder="0" shrinkToFit="0" wrapText="0"/>
    </xf>
    <xf borderId="0" fillId="0" fontId="5" numFmtId="164" xfId="0" applyAlignment="1" applyFont="1" applyNumberFormat="1">
      <alignment readingOrder="0"/>
    </xf>
    <xf borderId="0" fillId="0" fontId="5" numFmtId="165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github.com/ysfeylmz/SE116-AsteroxTeam/commit/5476621fe4beb2fe13ede1a7b3f23e1ce1345808" TargetMode="External"/><Relationship Id="rId22" Type="http://schemas.openxmlformats.org/officeDocument/2006/relationships/hyperlink" Target="https://github.com/ysfeylmz/SE116-AsteroxTeam/commit/7cc2def2cd1e06258611642e3850ab2f73fc16b7" TargetMode="External"/><Relationship Id="rId21" Type="http://schemas.openxmlformats.org/officeDocument/2006/relationships/hyperlink" Target="https://github.com/ysfeylmz/SE116-AsteroxTeam/commit/85dc9ea510ccc9e63a706833425323a4928f3958" TargetMode="External"/><Relationship Id="rId24" Type="http://schemas.openxmlformats.org/officeDocument/2006/relationships/hyperlink" Target="https://github.com/ysfeylmz/SE116-AsteroxTeam/commit/fbd5b0591262ed9b69f6957b0636a48d2475b6b1" TargetMode="External"/><Relationship Id="rId23" Type="http://schemas.openxmlformats.org/officeDocument/2006/relationships/hyperlink" Target="https://github.com/ysfeylmz/SE116-AsteroxTeam/commit/87884df4d6eaea5a28c3971156f28be438032e9c" TargetMode="External"/><Relationship Id="rId1" Type="http://schemas.openxmlformats.org/officeDocument/2006/relationships/hyperlink" Target="https://github.com/ysfeylmz/SE116-AsteroxTeam/commit/ae2b1bda32064997db8db8e2810bc0f0f96aa272" TargetMode="External"/><Relationship Id="rId2" Type="http://schemas.openxmlformats.org/officeDocument/2006/relationships/hyperlink" Target="https://github.com/ysfeylmz/SE116-AsteroxTeam/commit/e5da17a16e8ec45a4935565001ac33c1422aa4ca" TargetMode="External"/><Relationship Id="rId3" Type="http://schemas.openxmlformats.org/officeDocument/2006/relationships/hyperlink" Target="https://github.com/ysfeylmz/SE116-AsteroxTeam/commit/71f1734153bdd898c139b9c3849fbd8e612bb4d8" TargetMode="External"/><Relationship Id="rId4" Type="http://schemas.openxmlformats.org/officeDocument/2006/relationships/hyperlink" Target="https://github.com/ysfeylmz/SE116-AsteroxTeam/commit/c3925510fe9be09903d5d3419bfa8e22bb223b6c" TargetMode="External"/><Relationship Id="rId9" Type="http://schemas.openxmlformats.org/officeDocument/2006/relationships/hyperlink" Target="https://github.com/ysfeylmz/SE116-AsteroxTeam/commit/327bd1d351987ff83df75418615c0ef63396e210" TargetMode="External"/><Relationship Id="rId26" Type="http://schemas.openxmlformats.org/officeDocument/2006/relationships/hyperlink" Target="https://github.com/ysfeylmz/SE116-AsteroxTeam/commit/b4d354fd38540bac362fdd1a6f41325493c0b783" TargetMode="External"/><Relationship Id="rId25" Type="http://schemas.openxmlformats.org/officeDocument/2006/relationships/hyperlink" Target="https://github.com/ysfeylmz/SE116-AsteroxTeam/commit/98d85a061a35b6ddd3d5fcb6949ff13107cec7a7" TargetMode="External"/><Relationship Id="rId28" Type="http://schemas.openxmlformats.org/officeDocument/2006/relationships/hyperlink" Target="https://github.com/ysfeylmz/SE116-AsteroxTeam/commit/fcce5a14f8dd0f90fe108f1f4add586d359e3367" TargetMode="External"/><Relationship Id="rId27" Type="http://schemas.openxmlformats.org/officeDocument/2006/relationships/hyperlink" Target="https://github.com/ysfeylmz/SE116-AsteroxTeam/commit/7b8cd56d4d7e9b270bfc91a562f0d8c00e1d172d" TargetMode="External"/><Relationship Id="rId5" Type="http://schemas.openxmlformats.org/officeDocument/2006/relationships/hyperlink" Target="https://github.com/ysfeylmz/SE116-AsteroxTeam/commit/40d961fa45a9bfae4fe20842f543acb4e5d607e7" TargetMode="External"/><Relationship Id="rId6" Type="http://schemas.openxmlformats.org/officeDocument/2006/relationships/hyperlink" Target="https://github.com/ysfeylmz/SE116-AsteroxTeam/commit/a1d9bf7e1590275f4331131abd7d27bcb860e37a" TargetMode="External"/><Relationship Id="rId29" Type="http://schemas.openxmlformats.org/officeDocument/2006/relationships/hyperlink" Target="https://github.com/ysfeylmz/SE116-AsteroxTeam/commit/b9a5d4233528fdd977e641b926f97d8a0d1a42eb" TargetMode="External"/><Relationship Id="rId7" Type="http://schemas.openxmlformats.org/officeDocument/2006/relationships/hyperlink" Target="https://github.com/ysfeylmz/SE116-AsteroxTeam/commit/442eff112d7e8ea97d65d74d666f88077069b7cc" TargetMode="External"/><Relationship Id="rId8" Type="http://schemas.openxmlformats.org/officeDocument/2006/relationships/hyperlink" Target="https://github.com/ysfeylmz/SE116-AsteroxTeam/commit/a60fa53c92a948fad583fc8cd8221d1a0803f85e" TargetMode="External"/><Relationship Id="rId31" Type="http://schemas.openxmlformats.org/officeDocument/2006/relationships/hyperlink" Target="https://github.com/ysfeylmz/SE116-AsteroxTeam/commit/2840baa9fb4e6fab9eb30bb0f4cfa5022754db33" TargetMode="External"/><Relationship Id="rId30" Type="http://schemas.openxmlformats.org/officeDocument/2006/relationships/hyperlink" Target="https://github.com/ysfeylmz/SE116-AsteroxTeam/commit/2c5cc23b5eb69fc094cdb1caeff6a3ce6fb75ef4" TargetMode="External"/><Relationship Id="rId11" Type="http://schemas.openxmlformats.org/officeDocument/2006/relationships/hyperlink" Target="https://github.com/ysfeylmz/SE116-AsteroxTeam/commit/1a7f4471d189cd428d8068a7701ae23c94c2f05e" TargetMode="External"/><Relationship Id="rId33" Type="http://schemas.openxmlformats.org/officeDocument/2006/relationships/drawing" Target="../drawings/drawing1.xml"/><Relationship Id="rId10" Type="http://schemas.openxmlformats.org/officeDocument/2006/relationships/hyperlink" Target="https://github.com/ysfeylmz/SE116-AsteroxTeam/commit/9b5230c010a5f1eaf6716d1647b0f3ce17de9af7" TargetMode="External"/><Relationship Id="rId32" Type="http://schemas.openxmlformats.org/officeDocument/2006/relationships/hyperlink" Target="https://github.com/ysfeylmz/SE116-AsteroxTeam/commit/ef5c21d4c96f2a11a00d24759753506f571b3fd1" TargetMode="External"/><Relationship Id="rId13" Type="http://schemas.openxmlformats.org/officeDocument/2006/relationships/hyperlink" Target="https://github.com/ysfeylmz/SE116-AsteroxTeam/commit/2ce9db5ae7e25d45b4aab909605b03b65488f26c" TargetMode="External"/><Relationship Id="rId12" Type="http://schemas.openxmlformats.org/officeDocument/2006/relationships/hyperlink" Target="https://github.com/ysfeylmz/SE116-AsteroxTeam/commit/e3d175c116e70d40bf6c58b7ed59bce2045861cb" TargetMode="External"/><Relationship Id="rId15" Type="http://schemas.openxmlformats.org/officeDocument/2006/relationships/hyperlink" Target="https://github.com/ysfeylmz/SE116-AsteroxTeam/commit/567dbe12688aef1f14b48cd1afad7942d027b879" TargetMode="External"/><Relationship Id="rId14" Type="http://schemas.openxmlformats.org/officeDocument/2006/relationships/hyperlink" Target="https://github.com/ysfeylmz/SE116-AsteroxTeam/commit/d62c447787e778d79c3469e947ae4bc6c08127ab" TargetMode="External"/><Relationship Id="rId17" Type="http://schemas.openxmlformats.org/officeDocument/2006/relationships/hyperlink" Target="https://github.com/ysfeylmz/SE116-AsteroxTeam/commit/fa5fc1fe283f4117e14611cf977c405c661ef5d4" TargetMode="External"/><Relationship Id="rId16" Type="http://schemas.openxmlformats.org/officeDocument/2006/relationships/hyperlink" Target="https://github.com/ysfeylmz/SE116-AsteroxTeam/commit/db71cc24ef3d919e581357782f2d1a13adf612b0" TargetMode="External"/><Relationship Id="rId19" Type="http://schemas.openxmlformats.org/officeDocument/2006/relationships/hyperlink" Target="https://github.com/ysfeylmz/SE116-AsteroxTeam/commit/df9c370feec7883a8d2948d3f6f0346e841fa8ae" TargetMode="External"/><Relationship Id="rId18" Type="http://schemas.openxmlformats.org/officeDocument/2006/relationships/hyperlink" Target="https://github.com/ysfeylmz/SE116-AsteroxTeam/commit/491c9562cae7f317261cc673f9b9be2311033e4b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9.38"/>
    <col customWidth="1" min="3" max="3" width="16.75"/>
    <col customWidth="1" min="4" max="4" width="27.75"/>
    <col customWidth="1" min="5" max="5" width="14.38"/>
    <col customWidth="1" min="6" max="6" width="16.88"/>
    <col customWidth="1" min="7" max="7" width="21.75"/>
    <col customWidth="1" min="9" max="9" width="63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0</v>
      </c>
      <c r="T1" s="1" t="s">
        <v>1</v>
      </c>
      <c r="U1" s="1" t="s">
        <v>2</v>
      </c>
      <c r="V1" s="1" t="s">
        <v>3</v>
      </c>
      <c r="W1" s="1" t="s">
        <v>4</v>
      </c>
      <c r="X1" s="1" t="s">
        <v>5</v>
      </c>
      <c r="Y1" s="1" t="s">
        <v>6</v>
      </c>
      <c r="Z1" s="1" t="s">
        <v>7</v>
      </c>
      <c r="AA1" s="1" t="s">
        <v>8</v>
      </c>
      <c r="AB1" s="2"/>
    </row>
    <row r="2" ht="15.75" customHeight="1">
      <c r="A2" s="2">
        <v>1.0</v>
      </c>
      <c r="B2" s="3" t="s">
        <v>9</v>
      </c>
      <c r="C2" s="3" t="s">
        <v>10</v>
      </c>
      <c r="D2" s="3" t="s">
        <v>11</v>
      </c>
      <c r="E2" s="3">
        <v>30.0</v>
      </c>
      <c r="F2" s="4">
        <v>46158.893055555556</v>
      </c>
      <c r="G2" s="4">
        <v>46159.05763888889</v>
      </c>
      <c r="H2" s="5" t="s">
        <v>12</v>
      </c>
      <c r="I2" s="3" t="s">
        <v>13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15.75" customHeight="1">
      <c r="A3" s="3">
        <v>2.0</v>
      </c>
      <c r="B3" s="3" t="s">
        <v>9</v>
      </c>
      <c r="C3" s="3" t="s">
        <v>10</v>
      </c>
      <c r="D3" s="3" t="s">
        <v>14</v>
      </c>
      <c r="E3" s="3">
        <v>10.0</v>
      </c>
      <c r="F3" s="4">
        <v>46158.89722222222</v>
      </c>
      <c r="G3" s="4">
        <v>46158.916666666664</v>
      </c>
      <c r="H3" s="5" t="s">
        <v>15</v>
      </c>
      <c r="I3" s="3" t="s">
        <v>16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15.75" customHeight="1">
      <c r="A4" s="3">
        <v>3.0</v>
      </c>
      <c r="B4" s="3" t="s">
        <v>9</v>
      </c>
      <c r="C4" s="3" t="s">
        <v>10</v>
      </c>
      <c r="D4" s="6" t="s">
        <v>17</v>
      </c>
      <c r="E4" s="3">
        <v>5.0</v>
      </c>
      <c r="F4" s="4">
        <v>46158.958333333336</v>
      </c>
      <c r="G4" s="4">
        <v>46158.961805555555</v>
      </c>
      <c r="H4" s="5" t="s">
        <v>18</v>
      </c>
      <c r="I4" s="3" t="s">
        <v>17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15.75" customHeight="1">
      <c r="A5" s="3">
        <v>4.0</v>
      </c>
      <c r="B5" s="3" t="s">
        <v>19</v>
      </c>
      <c r="C5" s="3" t="s">
        <v>10</v>
      </c>
      <c r="D5" s="3" t="s">
        <v>20</v>
      </c>
      <c r="E5" s="3">
        <v>25.0</v>
      </c>
      <c r="F5" s="4">
        <v>46158.875</v>
      </c>
      <c r="G5" s="4">
        <v>46158.91527777778</v>
      </c>
      <c r="H5" s="5" t="s">
        <v>21</v>
      </c>
      <c r="I5" s="3" t="s">
        <v>22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15.75" customHeight="1">
      <c r="A6" s="3">
        <v>5.0</v>
      </c>
      <c r="B6" s="3" t="s">
        <v>19</v>
      </c>
      <c r="C6" s="3" t="s">
        <v>10</v>
      </c>
      <c r="D6" s="3" t="s">
        <v>23</v>
      </c>
      <c r="E6" s="3">
        <v>40.0</v>
      </c>
      <c r="F6" s="4">
        <v>46158.876388888886</v>
      </c>
      <c r="G6" s="4">
        <v>46158.97638888889</v>
      </c>
      <c r="H6" s="5" t="s">
        <v>24</v>
      </c>
      <c r="I6" s="3" t="s">
        <v>25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ht="15.75" customHeight="1">
      <c r="A7" s="3">
        <v>6.0</v>
      </c>
      <c r="B7" s="3" t="s">
        <v>26</v>
      </c>
      <c r="C7" s="3" t="s">
        <v>10</v>
      </c>
      <c r="D7" s="3" t="s">
        <v>27</v>
      </c>
      <c r="E7" s="7">
        <v>50.0</v>
      </c>
      <c r="F7" s="3" t="s">
        <v>28</v>
      </c>
      <c r="G7" s="3" t="s">
        <v>29</v>
      </c>
      <c r="H7" s="5" t="s">
        <v>30</v>
      </c>
      <c r="I7" s="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ht="16.5" customHeight="1">
      <c r="A8" s="3">
        <v>7.0</v>
      </c>
      <c r="B8" s="3" t="s">
        <v>9</v>
      </c>
      <c r="C8" s="3" t="s">
        <v>10</v>
      </c>
      <c r="D8" s="9" t="s">
        <v>31</v>
      </c>
      <c r="E8" s="3">
        <v>15.0</v>
      </c>
      <c r="F8" s="4">
        <v>46158.97222222222</v>
      </c>
      <c r="G8" s="4">
        <v>46158.998611111114</v>
      </c>
      <c r="H8" s="5" t="s">
        <v>32</v>
      </c>
      <c r="I8" s="3" t="s">
        <v>33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ht="15.75" customHeight="1">
      <c r="A9" s="3">
        <v>8.0</v>
      </c>
      <c r="B9" s="3" t="s">
        <v>9</v>
      </c>
      <c r="C9" s="3" t="s">
        <v>10</v>
      </c>
      <c r="D9" s="10" t="s">
        <v>34</v>
      </c>
      <c r="E9" s="3">
        <v>40.0</v>
      </c>
      <c r="F9" s="4">
        <v>46159.77222222222</v>
      </c>
      <c r="G9" s="4">
        <v>46158.819444444445</v>
      </c>
      <c r="H9" s="5" t="s">
        <v>35</v>
      </c>
      <c r="I9" s="3" t="s">
        <v>36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ht="15.75" customHeight="1">
      <c r="A10" s="3">
        <v>9.0</v>
      </c>
      <c r="B10" s="3" t="s">
        <v>19</v>
      </c>
      <c r="C10" s="3" t="s">
        <v>10</v>
      </c>
      <c r="D10" s="3" t="s">
        <v>37</v>
      </c>
      <c r="E10" s="3">
        <v>5.0</v>
      </c>
      <c r="F10" s="4">
        <v>46158.92361111111</v>
      </c>
      <c r="G10" s="4">
        <v>46158.936111111114</v>
      </c>
      <c r="H10" s="5" t="s">
        <v>38</v>
      </c>
      <c r="I10" s="3" t="s">
        <v>39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ht="15.75" customHeight="1">
      <c r="A11" s="3">
        <v>10.0</v>
      </c>
      <c r="B11" s="3" t="s">
        <v>26</v>
      </c>
      <c r="C11" s="3" t="s">
        <v>10</v>
      </c>
      <c r="D11" s="3" t="s">
        <v>40</v>
      </c>
      <c r="E11" s="3">
        <v>25.0</v>
      </c>
      <c r="F11" s="3" t="s">
        <v>41</v>
      </c>
      <c r="G11" s="4">
        <v>46158.938888888886</v>
      </c>
      <c r="H11" s="5" t="s">
        <v>42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ht="15.75" customHeight="1">
      <c r="A12" s="3">
        <v>11.0</v>
      </c>
      <c r="B12" s="3" t="s">
        <v>43</v>
      </c>
      <c r="C12" s="3" t="s">
        <v>10</v>
      </c>
      <c r="D12" s="3" t="s">
        <v>44</v>
      </c>
      <c r="E12" s="3">
        <v>50.0</v>
      </c>
      <c r="F12" s="4">
        <v>46159.76180555556</v>
      </c>
      <c r="G12" s="3" t="s">
        <v>45</v>
      </c>
      <c r="H12" s="5" t="s">
        <v>46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ht="15.75" customHeight="1">
      <c r="A13" s="3">
        <v>12.0</v>
      </c>
      <c r="B13" s="3" t="s">
        <v>47</v>
      </c>
      <c r="C13" s="3" t="s">
        <v>10</v>
      </c>
      <c r="D13" s="3" t="s">
        <v>48</v>
      </c>
      <c r="E13" s="3">
        <v>20.0</v>
      </c>
      <c r="F13" s="4">
        <v>46160.736805555556</v>
      </c>
      <c r="G13" s="4">
        <v>46160.811111111114</v>
      </c>
      <c r="H13" s="5" t="s">
        <v>49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ht="15.75" customHeight="1">
      <c r="A14" s="3">
        <v>13.0</v>
      </c>
      <c r="B14" s="3" t="s">
        <v>47</v>
      </c>
      <c r="C14" s="3" t="s">
        <v>10</v>
      </c>
      <c r="D14" s="3" t="s">
        <v>50</v>
      </c>
      <c r="E14" s="3">
        <v>25.0</v>
      </c>
      <c r="F14" s="4">
        <v>46160.75625</v>
      </c>
      <c r="G14" s="4">
        <v>46160.842361111114</v>
      </c>
      <c r="H14" s="5" t="s">
        <v>51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ht="15.75" customHeight="1">
      <c r="A15" s="3">
        <v>14.0</v>
      </c>
      <c r="B15" s="3" t="s">
        <v>47</v>
      </c>
      <c r="C15" s="3" t="s">
        <v>52</v>
      </c>
      <c r="D15" s="3" t="s">
        <v>53</v>
      </c>
      <c r="E15" s="3">
        <v>30.0</v>
      </c>
      <c r="F15" s="4">
        <v>46163.63680555556</v>
      </c>
      <c r="G15" s="4">
        <v>46163.68541666667</v>
      </c>
      <c r="H15" s="5" t="s">
        <v>54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ht="15.75" customHeight="1">
      <c r="A16" s="3">
        <v>15.0</v>
      </c>
      <c r="B16" s="3" t="s">
        <v>47</v>
      </c>
      <c r="C16" s="3" t="s">
        <v>52</v>
      </c>
      <c r="D16" s="3" t="s">
        <v>55</v>
      </c>
      <c r="E16" s="3">
        <v>20.0</v>
      </c>
      <c r="F16" s="4">
        <v>46163.69652777778</v>
      </c>
      <c r="G16" s="4">
        <v>46163.72986111111</v>
      </c>
      <c r="H16" s="5" t="s">
        <v>56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ht="15.75" customHeight="1">
      <c r="A17" s="3">
        <v>16.0</v>
      </c>
      <c r="B17" s="3" t="s">
        <v>47</v>
      </c>
      <c r="C17" s="3" t="s">
        <v>52</v>
      </c>
      <c r="D17" s="3" t="s">
        <v>57</v>
      </c>
      <c r="E17" s="3">
        <v>30.0</v>
      </c>
      <c r="F17" s="4">
        <v>46163.72638888889</v>
      </c>
      <c r="G17" s="4">
        <v>46163.7875</v>
      </c>
      <c r="H17" s="5" t="s">
        <v>58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ht="15.75" customHeight="1">
      <c r="A18" s="3">
        <v>17.0</v>
      </c>
      <c r="B18" s="3" t="s">
        <v>26</v>
      </c>
      <c r="C18" s="3" t="s">
        <v>52</v>
      </c>
      <c r="D18" s="3" t="s">
        <v>59</v>
      </c>
      <c r="E18" s="3">
        <v>25.0</v>
      </c>
      <c r="F18" s="3" t="s">
        <v>60</v>
      </c>
      <c r="G18" s="3" t="s">
        <v>61</v>
      </c>
      <c r="H18" s="5" t="s">
        <v>62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ht="15.75" customHeight="1">
      <c r="A19" s="3">
        <v>18.0</v>
      </c>
      <c r="B19" s="3" t="s">
        <v>26</v>
      </c>
      <c r="C19" s="3" t="s">
        <v>52</v>
      </c>
      <c r="D19" s="3" t="s">
        <v>63</v>
      </c>
      <c r="E19" s="3">
        <v>30.0</v>
      </c>
      <c r="F19" s="3" t="s">
        <v>64</v>
      </c>
      <c r="G19" s="3" t="s">
        <v>65</v>
      </c>
      <c r="H19" s="5" t="s">
        <v>66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ht="15.75" customHeight="1">
      <c r="A20" s="3">
        <v>19.0</v>
      </c>
      <c r="B20" s="3" t="s">
        <v>9</v>
      </c>
      <c r="C20" s="3" t="s">
        <v>52</v>
      </c>
      <c r="D20" s="3" t="s">
        <v>67</v>
      </c>
      <c r="E20" s="3">
        <v>20.0</v>
      </c>
      <c r="F20" s="4">
        <v>46165.84722222222</v>
      </c>
      <c r="G20" s="4">
        <v>46165.88888888889</v>
      </c>
      <c r="H20" s="5" t="s">
        <v>68</v>
      </c>
      <c r="I20" s="3" t="s">
        <v>69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ht="15.75" customHeight="1">
      <c r="A21" s="3">
        <v>20.0</v>
      </c>
      <c r="B21" s="3" t="s">
        <v>26</v>
      </c>
      <c r="C21" s="3" t="s">
        <v>52</v>
      </c>
      <c r="D21" s="3" t="s">
        <v>70</v>
      </c>
      <c r="E21" s="3">
        <v>30.0</v>
      </c>
      <c r="F21" s="3" t="s">
        <v>71</v>
      </c>
      <c r="G21" s="3" t="s">
        <v>72</v>
      </c>
      <c r="H21" s="5" t="s">
        <v>73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ht="15.75" customHeight="1">
      <c r="A22" s="3">
        <v>21.0</v>
      </c>
      <c r="B22" s="3" t="s">
        <v>47</v>
      </c>
      <c r="C22" s="7" t="s">
        <v>52</v>
      </c>
      <c r="D22" s="3" t="s">
        <v>74</v>
      </c>
      <c r="E22" s="3">
        <v>30.0</v>
      </c>
      <c r="F22" s="4">
        <v>46166.61666666667</v>
      </c>
      <c r="G22" s="4">
        <v>46166.64722222222</v>
      </c>
      <c r="H22" s="5" t="s">
        <v>75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ht="15.75" customHeight="1">
      <c r="A23" s="3">
        <v>22.0</v>
      </c>
      <c r="B23" s="3" t="s">
        <v>47</v>
      </c>
      <c r="C23" s="3" t="s">
        <v>52</v>
      </c>
      <c r="D23" s="3" t="s">
        <v>76</v>
      </c>
      <c r="E23" s="3">
        <v>25.0</v>
      </c>
      <c r="F23" s="4">
        <v>46166.71111111111</v>
      </c>
      <c r="G23" s="4">
        <v>46166.76111111111</v>
      </c>
      <c r="H23" s="5" t="s">
        <v>77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15.75" customHeight="1">
      <c r="A24" s="3">
        <v>23.0</v>
      </c>
      <c r="B24" s="3" t="s">
        <v>9</v>
      </c>
      <c r="C24" s="3" t="s">
        <v>52</v>
      </c>
      <c r="D24" s="3" t="s">
        <v>78</v>
      </c>
      <c r="E24" s="3">
        <v>40.0</v>
      </c>
      <c r="F24" s="4">
        <v>46166.82777777778</v>
      </c>
      <c r="G24" s="4">
        <v>46166.90277777778</v>
      </c>
      <c r="H24" s="5" t="s">
        <v>79</v>
      </c>
      <c r="I24" s="3" t="s">
        <v>80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15.75" customHeight="1">
      <c r="A25" s="3">
        <v>24.0</v>
      </c>
      <c r="B25" s="3" t="s">
        <v>43</v>
      </c>
      <c r="C25" s="3" t="s">
        <v>52</v>
      </c>
      <c r="D25" s="3" t="s">
        <v>81</v>
      </c>
      <c r="E25" s="3">
        <v>10.0</v>
      </c>
      <c r="F25" s="4">
        <v>46169.82777777778</v>
      </c>
      <c r="G25" s="4">
        <v>46169.85277777778</v>
      </c>
      <c r="H25" s="5" t="s">
        <v>82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ht="15.75" customHeight="1">
      <c r="A26" s="3">
        <v>25.0</v>
      </c>
      <c r="B26" s="3" t="s">
        <v>43</v>
      </c>
      <c r="C26" s="3" t="s">
        <v>52</v>
      </c>
      <c r="D26" s="3" t="s">
        <v>83</v>
      </c>
      <c r="E26" s="3">
        <v>50.0</v>
      </c>
      <c r="F26" s="4">
        <v>46169.07847222222</v>
      </c>
      <c r="G26" s="4">
        <v>46169.10555555556</v>
      </c>
      <c r="H26" s="5" t="s">
        <v>84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ht="15.75" customHeight="1">
      <c r="A27" s="3">
        <v>26.0</v>
      </c>
      <c r="B27" s="7" t="s">
        <v>43</v>
      </c>
      <c r="C27" s="3" t="s">
        <v>52</v>
      </c>
      <c r="D27" s="3" t="s">
        <v>85</v>
      </c>
      <c r="E27" s="3">
        <v>50.0</v>
      </c>
      <c r="F27" s="4">
        <v>46172.27222222222</v>
      </c>
      <c r="G27" s="4">
        <v>46172.364583333336</v>
      </c>
      <c r="H27" s="5" t="s">
        <v>86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ht="15.75" customHeight="1">
      <c r="A28" s="3">
        <v>27.0</v>
      </c>
      <c r="B28" s="3" t="s">
        <v>19</v>
      </c>
      <c r="C28" s="3" t="s">
        <v>52</v>
      </c>
      <c r="D28" s="3" t="s">
        <v>87</v>
      </c>
      <c r="E28" s="3">
        <v>60.0</v>
      </c>
      <c r="F28" s="4">
        <v>46172.78333333333</v>
      </c>
      <c r="G28" s="4">
        <v>46172.85277777778</v>
      </c>
      <c r="H28" s="5" t="s">
        <v>88</v>
      </c>
      <c r="I28" s="3" t="s">
        <v>89</v>
      </c>
      <c r="J28" s="3"/>
      <c r="K28" s="3"/>
      <c r="L28" s="3"/>
      <c r="M28" s="2"/>
      <c r="N28" s="3"/>
      <c r="O28" s="3"/>
      <c r="P28" s="3"/>
      <c r="Q28" s="3"/>
      <c r="R28" s="3"/>
      <c r="S28" s="2"/>
      <c r="T28" s="3"/>
      <c r="U28" s="3"/>
      <c r="V28" s="3"/>
      <c r="W28" s="3"/>
      <c r="X28" s="3"/>
      <c r="Y28" s="2"/>
      <c r="Z28" s="3"/>
      <c r="AA28" s="3"/>
      <c r="AB28" s="3"/>
    </row>
    <row r="29" ht="15.75" customHeight="1">
      <c r="A29" s="3">
        <v>28.0</v>
      </c>
      <c r="B29" s="3" t="s">
        <v>19</v>
      </c>
      <c r="C29" s="3" t="s">
        <v>52</v>
      </c>
      <c r="D29" s="3" t="s">
        <v>90</v>
      </c>
      <c r="E29" s="3">
        <v>40.0</v>
      </c>
      <c r="F29" s="4">
        <v>46174.88888888889</v>
      </c>
      <c r="G29" s="4">
        <v>46174.993055555555</v>
      </c>
      <c r="H29" s="5" t="s">
        <v>91</v>
      </c>
      <c r="I29" s="3" t="s">
        <v>92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ht="15.75" customHeight="1">
      <c r="A30" s="3">
        <v>29.0</v>
      </c>
      <c r="B30" s="3" t="s">
        <v>26</v>
      </c>
      <c r="C30" s="3" t="s">
        <v>52</v>
      </c>
      <c r="D30" s="3" t="s">
        <v>93</v>
      </c>
      <c r="E30" s="3">
        <v>25.0</v>
      </c>
      <c r="F30" s="3" t="s">
        <v>64</v>
      </c>
      <c r="G30" s="3" t="s">
        <v>94</v>
      </c>
      <c r="H30" s="5" t="s">
        <v>95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ht="15.75" customHeight="1">
      <c r="A31" s="3">
        <v>30.0</v>
      </c>
      <c r="B31" s="3" t="s">
        <v>9</v>
      </c>
      <c r="C31" s="3" t="s">
        <v>52</v>
      </c>
      <c r="D31" s="3" t="s">
        <v>96</v>
      </c>
      <c r="E31" s="3">
        <v>15.0</v>
      </c>
      <c r="F31" s="4">
        <v>46177.64097222222</v>
      </c>
      <c r="G31" s="4">
        <v>46177.677083333336</v>
      </c>
      <c r="H31" s="11" t="s">
        <v>97</v>
      </c>
      <c r="I31" s="3" t="s">
        <v>98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ht="15.75" customHeight="1">
      <c r="A32" s="3">
        <v>31.0</v>
      </c>
      <c r="B32" s="3" t="s">
        <v>9</v>
      </c>
      <c r="C32" s="3" t="s">
        <v>52</v>
      </c>
      <c r="D32" s="3" t="s">
        <v>99</v>
      </c>
      <c r="E32" s="3">
        <v>15.0</v>
      </c>
      <c r="F32" s="12">
        <v>46177.677777777775</v>
      </c>
      <c r="G32" s="12">
        <v>46177.725694444445</v>
      </c>
      <c r="H32" s="5" t="s">
        <v>100</v>
      </c>
      <c r="I32" s="3" t="s">
        <v>101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ht="15.75" customHeight="1">
      <c r="A33" s="7">
        <v>32.0</v>
      </c>
      <c r="B33" s="7" t="s">
        <v>47</v>
      </c>
      <c r="C33" s="7" t="s">
        <v>52</v>
      </c>
      <c r="D33" s="7" t="s">
        <v>102</v>
      </c>
      <c r="E33" s="7">
        <v>5.0</v>
      </c>
      <c r="F33" s="13">
        <v>46178.86597222222</v>
      </c>
      <c r="G33" s="14">
        <v>46178.89166666667</v>
      </c>
      <c r="H33" s="15" t="s">
        <v>103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ht="15.75" customHeight="1"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ht="15.75" customHeight="1"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ht="15.75" customHeight="1"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ht="15.75" customHeight="1">
      <c r="A38" s="2"/>
      <c r="B38" s="2"/>
      <c r="C38" s="2"/>
      <c r="D38" s="2"/>
      <c r="E38" s="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ht="15.75" customHeight="1">
      <c r="A39" s="2"/>
      <c r="B39" s="2"/>
      <c r="C39" s="2"/>
      <c r="D39" s="2"/>
      <c r="E39" s="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15.75" customHeight="1">
      <c r="A40" s="2"/>
      <c r="B40" s="2"/>
      <c r="C40" s="2"/>
      <c r="D40" s="2"/>
      <c r="E40" s="3"/>
      <c r="F40" s="3"/>
      <c r="G40" s="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15.75" customHeight="1">
      <c r="A41" s="2"/>
      <c r="B41" s="2"/>
      <c r="C41" s="2"/>
      <c r="D41" s="2"/>
      <c r="E41" s="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ht="15.75" customHeight="1">
      <c r="A42" s="2"/>
      <c r="B42" s="2"/>
      <c r="C42" s="2"/>
      <c r="D42" s="3"/>
      <c r="E42" s="2"/>
      <c r="F42" s="3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ht="15.75" customHeight="1">
      <c r="A43" s="2"/>
      <c r="B43" s="2"/>
      <c r="C43" s="2"/>
      <c r="D43" s="2"/>
      <c r="E43" s="3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ht="15.75" customHeight="1">
      <c r="A44" s="2"/>
      <c r="B44" s="2"/>
      <c r="C44" s="2"/>
      <c r="D44" s="2"/>
      <c r="E44" s="3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location="diff-658d701872636e79d23434332b02f389b3b0ace82d36fef03d16fa43ef7d1165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</hyperlinks>
  <drawing r:id="rId3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5.75"/>
    <col customWidth="1" min="3" max="6" width="12.63"/>
  </cols>
  <sheetData>
    <row r="1" ht="15.75" customHeight="1">
      <c r="A1" s="16" t="s">
        <v>104</v>
      </c>
      <c r="B1" s="16" t="s">
        <v>105</v>
      </c>
      <c r="C1" s="16" t="s">
        <v>106</v>
      </c>
      <c r="D1" s="16" t="s">
        <v>107</v>
      </c>
      <c r="E1" s="16" t="s">
        <v>108</v>
      </c>
    </row>
    <row r="2" ht="15.75" customHeight="1">
      <c r="A2" s="17" t="s">
        <v>9</v>
      </c>
      <c r="B2" s="17">
        <v>9.0</v>
      </c>
      <c r="C2" s="17">
        <v>190.0</v>
      </c>
      <c r="D2" s="18">
        <f t="shared" ref="D2:D11" si="1">IF(ROUND(C2/$E$2*100,0)&gt;100,100,ROUND(C2/$E$2*100,0))</f>
        <v>43</v>
      </c>
      <c r="E2" s="18">
        <f>SUM(C2:C1000)/2</f>
        <v>445</v>
      </c>
    </row>
    <row r="3" ht="15.75" customHeight="1">
      <c r="A3" s="17" t="s">
        <v>26</v>
      </c>
      <c r="B3" s="17">
        <v>6.0</v>
      </c>
      <c r="C3" s="17">
        <v>185.0</v>
      </c>
      <c r="D3" s="18">
        <f t="shared" si="1"/>
        <v>42</v>
      </c>
    </row>
    <row r="4" ht="15.75" customHeight="1">
      <c r="A4" s="7" t="s">
        <v>47</v>
      </c>
      <c r="B4" s="7">
        <v>7.0</v>
      </c>
      <c r="C4" s="7">
        <v>185.0</v>
      </c>
      <c r="D4" s="18">
        <f t="shared" si="1"/>
        <v>42</v>
      </c>
    </row>
    <row r="5" ht="15.75" customHeight="1">
      <c r="A5" s="7" t="s">
        <v>109</v>
      </c>
      <c r="B5" s="7">
        <v>4.0</v>
      </c>
      <c r="C5" s="7">
        <v>160.0</v>
      </c>
      <c r="D5" s="18">
        <f t="shared" si="1"/>
        <v>36</v>
      </c>
    </row>
    <row r="6" ht="15.75" customHeight="1">
      <c r="A6" s="7" t="s">
        <v>19</v>
      </c>
      <c r="B6" s="7">
        <v>5.0</v>
      </c>
      <c r="C6" s="7">
        <v>170.0</v>
      </c>
      <c r="D6" s="18">
        <f t="shared" si="1"/>
        <v>38</v>
      </c>
    </row>
    <row r="7" ht="15.75" customHeight="1">
      <c r="D7" s="18">
        <f t="shared" si="1"/>
        <v>0</v>
      </c>
    </row>
    <row r="8" ht="15.75" customHeight="1">
      <c r="D8" s="18">
        <f t="shared" si="1"/>
        <v>0</v>
      </c>
    </row>
    <row r="9" ht="15.75" customHeight="1">
      <c r="D9" s="18">
        <f t="shared" si="1"/>
        <v>0</v>
      </c>
    </row>
    <row r="10" ht="15.75" customHeight="1">
      <c r="D10" s="18">
        <f t="shared" si="1"/>
        <v>0</v>
      </c>
    </row>
    <row r="11" ht="15.75" customHeight="1">
      <c r="D11" s="18">
        <f t="shared" si="1"/>
        <v>0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